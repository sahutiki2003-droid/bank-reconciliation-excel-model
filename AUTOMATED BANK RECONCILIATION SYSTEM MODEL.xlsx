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95FBF3AB-1B29-4CCE-920F-EB889170DDA3}" xr6:coauthVersionLast="47" xr6:coauthVersionMax="47" xr10:uidLastSave="{00000000-0000-0000-0000-000000000000}"/>
  <bookViews>
    <workbookView xWindow="-108" yWindow="-108" windowWidth="23256" windowHeight="12456" xr2:uid="{F3074692-733F-4C03-B15A-6529199DCBFD}"/>
  </bookViews>
  <sheets>
    <sheet name="CASH BOOK" sheetId="1" r:id="rId1"/>
    <sheet name="BANK STATEMENT" sheetId="2" r:id="rId2"/>
    <sheet name="BRS 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J12" i="2"/>
  <c r="J13" i="2"/>
  <c r="J14" i="2"/>
  <c r="J15" i="2"/>
  <c r="J16" i="2"/>
  <c r="J17" i="2"/>
  <c r="J10" i="2"/>
  <c r="H10" i="1"/>
  <c r="H11" i="1"/>
  <c r="H12" i="1"/>
  <c r="H13" i="1"/>
  <c r="H14" i="1"/>
  <c r="H15" i="1"/>
  <c r="E19" i="3"/>
  <c r="E17" i="3"/>
  <c r="E16" i="3"/>
  <c r="D16" i="3"/>
  <c r="D15" i="3"/>
  <c r="D14" i="3"/>
  <c r="E12" i="3"/>
  <c r="E11" i="3"/>
  <c r="D11" i="3"/>
  <c r="D10" i="3"/>
  <c r="E8" i="3"/>
  <c r="H9" i="1"/>
  <c r="H17" i="2"/>
  <c r="I17" i="2"/>
  <c r="H16" i="2"/>
  <c r="I16" i="2"/>
  <c r="H15" i="2"/>
  <c r="I15" i="2"/>
  <c r="I14" i="2"/>
  <c r="I13" i="2"/>
  <c r="I12" i="2"/>
  <c r="I11" i="2"/>
  <c r="I10" i="2"/>
  <c r="H10" i="2"/>
  <c r="H11" i="2" s="1"/>
  <c r="H12" i="2" s="1"/>
  <c r="H13" i="2" s="1"/>
  <c r="H14" i="2" s="1"/>
  <c r="E16" i="1"/>
  <c r="F16" i="1"/>
  <c r="G9" i="1"/>
  <c r="G10" i="1"/>
  <c r="G11" i="1"/>
  <c r="G12" i="1"/>
  <c r="G13" i="1"/>
  <c r="G14" i="1"/>
  <c r="G15" i="1"/>
  <c r="G8" i="1"/>
</calcChain>
</file>

<file path=xl/sharedStrings.xml><?xml version="1.0" encoding="utf-8"?>
<sst xmlns="http://schemas.openxmlformats.org/spreadsheetml/2006/main" count="84" uniqueCount="71">
  <si>
    <t>CASH BOOK</t>
  </si>
  <si>
    <t>APEX SKYLINE DEVELOPERS PVT. LTD.</t>
  </si>
  <si>
    <t>Date</t>
  </si>
  <si>
    <t>Ref / Chq. No.</t>
  </si>
  <si>
    <t>Receipts / Dr (₹)</t>
  </si>
  <si>
    <t>Payments / Cr (₹)</t>
  </si>
  <si>
    <t>Recon Key</t>
  </si>
  <si>
    <t>Match Status</t>
  </si>
  <si>
    <t>OB-001</t>
  </si>
  <si>
    <t>TXN-CB-102</t>
  </si>
  <si>
    <t>Opening Balance b/d</t>
  </si>
  <si>
    <t>Booking Advance - Flat 402 (R. Sharma)</t>
  </si>
  <si>
    <t>CHQ-501</t>
  </si>
  <si>
    <t>CHQ-502</t>
  </si>
  <si>
    <t>Ultratech Cement Suppliers</t>
  </si>
  <si>
    <t>JSW Steel Infrastructure</t>
  </si>
  <si>
    <t>TXN-CB-105</t>
  </si>
  <si>
    <t>Booking Advance - Villa 12 (A. Verma)</t>
  </si>
  <si>
    <t>Civil Contractor Interim Bill</t>
  </si>
  <si>
    <t>CHQ-503</t>
  </si>
  <si>
    <t>CHQ-504</t>
  </si>
  <si>
    <t>TXN-CB-108</t>
  </si>
  <si>
    <t>MEP Subcontractor Payment</t>
  </si>
  <si>
    <t>Booking Advance - Office Space 101</t>
  </si>
  <si>
    <t>Total</t>
  </si>
  <si>
    <t>Particulars</t>
  </si>
  <si>
    <t>BANK STATEMENT</t>
  </si>
  <si>
    <t>HDFC BANK LTD. - CORPORATE BANKING DIVISION</t>
  </si>
  <si>
    <t>Account Name: Apex Skyline Developers Pvt. Ltd. | Account No: 50200089213451 | IFSC: HDFC0001234</t>
  </si>
  <si>
    <t>Statement Period: 01-AUG-2026 to 31-AUG-2026 | Currency: INR (₹)</t>
  </si>
  <si>
    <r>
      <t xml:space="preserve">General Ledger - HDFC Bank Current Account  </t>
    </r>
    <r>
      <rPr>
        <sz val="10"/>
        <color theme="1"/>
        <rFont val="Calibri"/>
        <family val="2"/>
      </rPr>
      <t>|</t>
    </r>
    <r>
      <rPr>
        <i/>
        <sz val="9.9"/>
        <color theme="1"/>
        <rFont val="Calibri"/>
        <family val="2"/>
      </rPr>
      <t xml:space="preserve"> </t>
    </r>
    <r>
      <rPr>
        <i/>
        <sz val="10"/>
        <color theme="1"/>
        <rFont val="Calibri"/>
        <family val="2"/>
      </rPr>
      <t>Period: 01-AUG-2026 to 31-AUG-2026</t>
    </r>
  </si>
  <si>
    <t>TXN Date</t>
  </si>
  <si>
    <t>Value Date</t>
  </si>
  <si>
    <t>Narration / Description</t>
  </si>
  <si>
    <t>Chq / Ref No.</t>
  </si>
  <si>
    <t>Deposits / Cr (₹)</t>
  </si>
  <si>
    <t>Balance (₹)</t>
  </si>
  <si>
    <t>Opening Balance</t>
  </si>
  <si>
    <t>OPENING BALANCE B/F</t>
  </si>
  <si>
    <t>CLG/ULTRATECH CEMENT</t>
  </si>
  <si>
    <t>CLG/R SHARMA/ADV FL 402</t>
  </si>
  <si>
    <t>CLG/MEP SUBCONTRACT</t>
  </si>
  <si>
    <t>RTGS/INFLOW COLL REC</t>
  </si>
  <si>
    <t>AUTO CR SWEEP INT/AUG26</t>
  </si>
  <si>
    <t>INT-9921</t>
  </si>
  <si>
    <t>DR/PROJECT TERM LOAN INT</t>
  </si>
  <si>
    <t>LOAN-883</t>
  </si>
  <si>
    <t>A/C MAINT &amp; INSP CHG/Q2</t>
  </si>
  <si>
    <t>CHG-1102</t>
  </si>
  <si>
    <t>Withdrawals / Dr (₹)</t>
  </si>
  <si>
    <t>BANK RECONCILIATION STATEMENT</t>
  </si>
  <si>
    <t>As of 31-AUG-2026 | Reconciled against HDFC Current A/c No. 50200089213451</t>
  </si>
  <si>
    <t>Ref / Description</t>
  </si>
  <si>
    <t>Details (₹)</t>
  </si>
  <si>
    <t>Net Amount (₹)</t>
  </si>
  <si>
    <t>Balance as per Cash Book (Bank Column)</t>
  </si>
  <si>
    <t>Closing Ledger Position</t>
  </si>
  <si>
    <t>Add:</t>
  </si>
  <si>
    <t>Cheques issued but not presented for payment</t>
  </si>
  <si>
    <t>CHQ-503 (Civil Contractor)</t>
  </si>
  <si>
    <t>Direct Credit by Bank (Auto Sweep Interest)</t>
  </si>
  <si>
    <t>Subtotal</t>
  </si>
  <si>
    <t>Cheques deposited but not cleared by bank</t>
  </si>
  <si>
    <t>TXN-CB-105 (Villa 12 Adv)</t>
  </si>
  <si>
    <t xml:space="preserve">Bank charges &amp; Inspection fees debited </t>
  </si>
  <si>
    <t>Balance as per Bank Statement</t>
  </si>
  <si>
    <t>HDFC Statement Closing</t>
  </si>
  <si>
    <t>Reconciliation Status</t>
  </si>
  <si>
    <t>Less:</t>
  </si>
  <si>
    <t>CLG/JSW STEEL INFRA</t>
  </si>
  <si>
    <t>Bank debit for Project Term Loan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</si>
</sst>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800]dddd\,\ mmmm\ dd\,\ yyyy"/>
  </numFmts>
  <fonts count="10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i/>
      <sz val="9.9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6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double">
        <color theme="2" tint="-9.9887081514938816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/>
      <right style="thin">
        <color theme="2" tint="-9.9887081514938816E-2"/>
      </right>
      <top style="thin">
        <color theme="2" tint="-9.9887081514938816E-2"/>
      </top>
      <bottom style="double">
        <color theme="2" tint="-9.9887081514938816E-2"/>
      </bottom>
      <diagonal/>
    </border>
    <border>
      <left style="thin">
        <color theme="2" tint="-9.9887081514938816E-2"/>
      </left>
      <right/>
      <top style="thin">
        <color theme="2" tint="-9.9887081514938816E-2"/>
      </top>
      <bottom style="double">
        <color theme="2" tint="-9.9887081514938816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theme="2" tint="-9.9948118533890809E-2"/>
      </bottom>
      <diagonal/>
    </border>
    <border>
      <left/>
      <right/>
      <top/>
      <bottom style="thin">
        <color theme="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4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4" fontId="1" fillId="2" borderId="0" xfId="0" applyNumberFormat="1" applyFont="1" applyFill="1" applyAlignment="1">
      <alignment horizontal="center" vertical="center"/>
    </xf>
    <xf numFmtId="0" fontId="2" fillId="0" borderId="4" xfId="0" applyFont="1" applyBorder="1" applyAlignment="1">
      <alignment horizontal="right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4" fontId="1" fillId="2" borderId="8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13" xfId="0" applyBorder="1" applyAlignment="1">
      <alignment horizontal="center" vertical="center"/>
    </xf>
    <xf numFmtId="44" fontId="0" fillId="0" borderId="13" xfId="0" applyNumberFormat="1" applyBorder="1" applyAlignment="1">
      <alignment horizontal="center" vertical="center"/>
    </xf>
    <xf numFmtId="44" fontId="9" fillId="0" borderId="14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4" fontId="0" fillId="0" borderId="1" xfId="0" applyNumberFormat="1" applyBorder="1" applyAlignment="1">
      <alignment horizontal="right"/>
    </xf>
    <xf numFmtId="44" fontId="0" fillId="0" borderId="3" xfId="0" applyNumberFormat="1" applyBorder="1" applyAlignment="1">
      <alignment horizontal="right"/>
    </xf>
    <xf numFmtId="44" fontId="2" fillId="0" borderId="2" xfId="0" applyNumberFormat="1" applyFont="1" applyBorder="1" applyAlignment="1">
      <alignment horizontal="right"/>
    </xf>
    <xf numFmtId="44" fontId="2" fillId="0" borderId="5" xfId="0" applyNumberFormat="1" applyFont="1" applyBorder="1" applyAlignment="1">
      <alignment horizontal="right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9" xfId="0" applyNumberFormat="1" applyBorder="1" applyAlignment="1">
      <alignment horizontal="right" vertical="center"/>
    </xf>
    <xf numFmtId="44" fontId="0" fillId="0" borderId="6" xfId="0" applyNumberFormat="1" applyBorder="1" applyAlignment="1">
      <alignment horizontal="right" vertical="center"/>
    </xf>
    <xf numFmtId="44" fontId="2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4" fontId="0" fillId="0" borderId="0" xfId="0" applyNumberFormat="1" applyAlignment="1">
      <alignment horizontal="right" vertical="center"/>
    </xf>
    <xf numFmtId="44" fontId="2" fillId="0" borderId="0" xfId="0" applyNumberFormat="1" applyFont="1" applyAlignment="1">
      <alignment horizontal="right" vertical="center"/>
    </xf>
    <xf numFmtId="44" fontId="0" fillId="0" borderId="10" xfId="0" applyNumberFormat="1" applyBorder="1" applyAlignment="1">
      <alignment horizontal="right" vertical="center"/>
    </xf>
    <xf numFmtId="44" fontId="2" fillId="0" borderId="11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AB84-C84F-4382-84FB-5A84B6983D3C}">
  <dimension ref="B1:H17"/>
  <sheetViews>
    <sheetView showGridLines="0" tabSelected="1" zoomScale="102" workbookViewId="0">
      <selection activeCell="A5" sqref="A5:XFD5"/>
    </sheetView>
  </sheetViews>
  <sheetFormatPr defaultRowHeight="14.4" x14ac:dyDescent="0.3"/>
  <cols>
    <col min="1" max="1" width="3.77734375" customWidth="1"/>
    <col min="2" max="2" width="14.109375" style="1" bestFit="1" customWidth="1"/>
    <col min="3" max="3" width="13" bestFit="1" customWidth="1"/>
    <col min="4" max="4" width="33.5546875" bestFit="1" customWidth="1"/>
    <col min="5" max="5" width="15.5546875" style="2" bestFit="1" customWidth="1"/>
    <col min="6" max="6" width="16.88671875" style="2" bestFit="1" customWidth="1"/>
    <col min="7" max="7" width="18.33203125" bestFit="1" customWidth="1"/>
    <col min="8" max="8" width="14.77734375" bestFit="1" customWidth="1"/>
  </cols>
  <sheetData>
    <row r="1" spans="2:8" ht="12" customHeight="1" x14ac:dyDescent="0.3"/>
    <row r="2" spans="2:8" ht="30" customHeight="1" x14ac:dyDescent="0.3">
      <c r="B2" s="42" t="s">
        <v>0</v>
      </c>
      <c r="C2" s="42"/>
      <c r="D2" s="42"/>
      <c r="E2" s="42"/>
      <c r="F2" s="42"/>
      <c r="G2" s="42"/>
      <c r="H2" s="42"/>
    </row>
    <row r="4" spans="2:8" ht="18" x14ac:dyDescent="0.3">
      <c r="B4" s="43" t="s">
        <v>1</v>
      </c>
      <c r="C4" s="43"/>
      <c r="D4" s="43"/>
      <c r="E4" s="43"/>
      <c r="F4" s="43"/>
      <c r="G4" s="43"/>
      <c r="H4" s="43"/>
    </row>
    <row r="5" spans="2:8" ht="13.8" customHeight="1" x14ac:dyDescent="0.3">
      <c r="B5" s="45" t="s">
        <v>30</v>
      </c>
      <c r="C5" s="45"/>
      <c r="D5" s="45"/>
      <c r="E5" s="45"/>
      <c r="F5" s="45"/>
      <c r="G5" s="45"/>
      <c r="H5" s="45"/>
    </row>
    <row r="7" spans="2:8" ht="24" customHeight="1" x14ac:dyDescent="0.3">
      <c r="B7" s="3" t="s">
        <v>2</v>
      </c>
      <c r="C7" s="4" t="s">
        <v>3</v>
      </c>
      <c r="D7" s="4" t="s">
        <v>25</v>
      </c>
      <c r="E7" s="5" t="s">
        <v>4</v>
      </c>
      <c r="F7" s="5" t="s">
        <v>5</v>
      </c>
      <c r="G7" s="4" t="s">
        <v>6</v>
      </c>
      <c r="H7" s="4" t="s">
        <v>7</v>
      </c>
    </row>
    <row r="8" spans="2:8" x14ac:dyDescent="0.3">
      <c r="B8" s="14">
        <v>46235</v>
      </c>
      <c r="C8" s="15" t="s">
        <v>8</v>
      </c>
      <c r="D8" s="16" t="s">
        <v>10</v>
      </c>
      <c r="E8" s="18">
        <v>1500000</v>
      </c>
      <c r="F8" s="18">
        <v>0</v>
      </c>
      <c r="G8" s="15" t="str">
        <f>C8&amp;"_"&amp;(E8+F8)</f>
        <v>OB-001_1500000</v>
      </c>
      <c r="H8" s="15" t="s">
        <v>37</v>
      </c>
    </row>
    <row r="9" spans="2:8" x14ac:dyDescent="0.3">
      <c r="B9" s="14">
        <v>46239</v>
      </c>
      <c r="C9" s="15" t="s">
        <v>9</v>
      </c>
      <c r="D9" s="16" t="s">
        <v>11</v>
      </c>
      <c r="E9" s="18">
        <v>500000</v>
      </c>
      <c r="F9" s="18">
        <v>0</v>
      </c>
      <c r="G9" s="15" t="str">
        <f t="shared" ref="G9:G15" si="0">C9&amp;"_"&amp;(E9+F9)</f>
        <v>TXN-CB-102_500000</v>
      </c>
      <c r="H9" s="15" t="str">
        <f>IF(ISNUMBER(_xlfn.XMATCH(G9,'BANK STATEMENT'!$I$10:$I$17)),"Cleared","Uncleared")</f>
        <v>Cleared</v>
      </c>
    </row>
    <row r="10" spans="2:8" x14ac:dyDescent="0.3">
      <c r="B10" s="14">
        <v>46243</v>
      </c>
      <c r="C10" s="15" t="s">
        <v>12</v>
      </c>
      <c r="D10" s="16" t="s">
        <v>14</v>
      </c>
      <c r="E10" s="18">
        <v>0</v>
      </c>
      <c r="F10" s="18">
        <v>320000</v>
      </c>
      <c r="G10" s="15" t="str">
        <f t="shared" si="0"/>
        <v>CHQ-501_320000</v>
      </c>
      <c r="H10" s="15" t="str">
        <f>IF(ISNUMBER(_xlfn.XMATCH(G10,'BANK STATEMENT'!$I$10:$I$17)),"Cleared","Uncleared")</f>
        <v>Cleared</v>
      </c>
    </row>
    <row r="11" spans="2:8" x14ac:dyDescent="0.3">
      <c r="B11" s="14">
        <v>46248</v>
      </c>
      <c r="C11" s="15" t="s">
        <v>13</v>
      </c>
      <c r="D11" s="16" t="s">
        <v>15</v>
      </c>
      <c r="E11" s="18">
        <v>0</v>
      </c>
      <c r="F11" s="18">
        <v>450000</v>
      </c>
      <c r="G11" s="15" t="str">
        <f t="shared" si="0"/>
        <v>CHQ-502_450000</v>
      </c>
      <c r="H11" s="15" t="str">
        <f>IF(ISNUMBER(_xlfn.XMATCH(G11,'BANK STATEMENT'!$I$10:$I$17)),"Cleared","Uncleared")</f>
        <v>Cleared</v>
      </c>
    </row>
    <row r="12" spans="2:8" x14ac:dyDescent="0.3">
      <c r="B12" s="14">
        <v>46254</v>
      </c>
      <c r="C12" s="15" t="s">
        <v>16</v>
      </c>
      <c r="D12" s="16" t="s">
        <v>17</v>
      </c>
      <c r="E12" s="18">
        <v>750000</v>
      </c>
      <c r="F12" s="18">
        <v>0</v>
      </c>
      <c r="G12" s="15" t="str">
        <f t="shared" si="0"/>
        <v>TXN-CB-105_750000</v>
      </c>
      <c r="H12" s="15" t="str">
        <f>IF(ISNUMBER(_xlfn.XMATCH(G12,'BANK STATEMENT'!$I$10:$I$17)),"Cleared","Uncleared")</f>
        <v>Uncleared</v>
      </c>
    </row>
    <row r="13" spans="2:8" x14ac:dyDescent="0.3">
      <c r="B13" s="14">
        <v>46259</v>
      </c>
      <c r="C13" s="15" t="s">
        <v>19</v>
      </c>
      <c r="D13" s="16" t="s">
        <v>18</v>
      </c>
      <c r="E13" s="18">
        <v>0</v>
      </c>
      <c r="F13" s="18">
        <v>600000</v>
      </c>
      <c r="G13" s="15" t="str">
        <f t="shared" si="0"/>
        <v>CHQ-503_600000</v>
      </c>
      <c r="H13" s="15" t="str">
        <f>IF(ISNUMBER(_xlfn.XMATCH(G13,'BANK STATEMENT'!$I$10:$I$17)),"Cleared","Uncleared")</f>
        <v>Uncleared</v>
      </c>
    </row>
    <row r="14" spans="2:8" x14ac:dyDescent="0.3">
      <c r="B14" s="14">
        <v>46262</v>
      </c>
      <c r="C14" s="15" t="s">
        <v>20</v>
      </c>
      <c r="D14" s="16" t="s">
        <v>22</v>
      </c>
      <c r="E14" s="18">
        <v>0</v>
      </c>
      <c r="F14" s="18">
        <v>280000</v>
      </c>
      <c r="G14" s="15" t="str">
        <f t="shared" si="0"/>
        <v>CHQ-504_280000</v>
      </c>
      <c r="H14" s="15" t="str">
        <f>IF(ISNUMBER(_xlfn.XMATCH(G14,'BANK STATEMENT'!$I$10:$I$17)),"Cleared","Uncleared")</f>
        <v>Cleared</v>
      </c>
    </row>
    <row r="15" spans="2:8" x14ac:dyDescent="0.3">
      <c r="B15" s="14">
        <v>46265</v>
      </c>
      <c r="C15" s="15" t="s">
        <v>21</v>
      </c>
      <c r="D15" s="17" t="s">
        <v>23</v>
      </c>
      <c r="E15" s="19">
        <v>400000</v>
      </c>
      <c r="F15" s="19">
        <v>0</v>
      </c>
      <c r="G15" s="15" t="str">
        <f t="shared" si="0"/>
        <v>TXN-CB-108_400000</v>
      </c>
      <c r="H15" s="15" t="str">
        <f>IF(ISNUMBER(_xlfn.XMATCH(G15,'BANK STATEMENT'!$I$10:$I$17)),"Cleared","Uncleared")</f>
        <v>Cleared</v>
      </c>
    </row>
    <row r="16" spans="2:8" ht="15" thickBot="1" x14ac:dyDescent="0.35">
      <c r="D16" s="6" t="s">
        <v>24</v>
      </c>
      <c r="E16" s="20">
        <f>SUM(E8:E15)</f>
        <v>3150000</v>
      </c>
      <c r="F16" s="21">
        <f>SUM(F8:F15)</f>
        <v>1650000</v>
      </c>
    </row>
    <row r="17" ht="15" thickTop="1" x14ac:dyDescent="0.3"/>
  </sheetData>
  <mergeCells count="3">
    <mergeCell ref="B2:H2"/>
    <mergeCell ref="B4:H4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25F8-13AA-458C-AFA1-8F6F9D997F79}">
  <dimension ref="B1:J18"/>
  <sheetViews>
    <sheetView showGridLines="0" zoomScale="86" workbookViewId="0">
      <selection activeCell="D13" sqref="D13"/>
    </sheetView>
  </sheetViews>
  <sheetFormatPr defaultRowHeight="14.4" x14ac:dyDescent="0.3"/>
  <cols>
    <col min="1" max="1" width="3.77734375" customWidth="1"/>
    <col min="2" max="3" width="14.5546875" style="22" bestFit="1" customWidth="1"/>
    <col min="4" max="4" width="25.88671875" style="27" bestFit="1" customWidth="1"/>
    <col min="5" max="5" width="12.5546875" bestFit="1" customWidth="1"/>
    <col min="6" max="6" width="19.88671875" style="2" bestFit="1" customWidth="1"/>
    <col min="7" max="7" width="16.21875" style="2" bestFit="1" customWidth="1"/>
    <col min="8" max="8" width="15.109375" style="2" bestFit="1" customWidth="1"/>
    <col min="9" max="9" width="19" bestFit="1" customWidth="1"/>
    <col min="10" max="10" width="19.88671875" bestFit="1" customWidth="1"/>
  </cols>
  <sheetData>
    <row r="1" spans="2:10" ht="12" customHeight="1" x14ac:dyDescent="0.3"/>
    <row r="2" spans="2:10" ht="30" customHeight="1" x14ac:dyDescent="0.3">
      <c r="B2" s="42" t="s">
        <v>26</v>
      </c>
      <c r="C2" s="42"/>
      <c r="D2" s="42"/>
      <c r="E2" s="42"/>
      <c r="F2" s="42"/>
      <c r="G2" s="42"/>
      <c r="H2" s="42"/>
      <c r="I2" s="42"/>
      <c r="J2" s="42"/>
    </row>
    <row r="3" spans="2:10" x14ac:dyDescent="0.3">
      <c r="E3" s="23"/>
      <c r="F3" s="24"/>
      <c r="G3" s="24"/>
      <c r="H3" s="24"/>
      <c r="I3" s="23"/>
      <c r="J3" s="23"/>
    </row>
    <row r="4" spans="2:10" ht="18" x14ac:dyDescent="0.3">
      <c r="B4" s="43" t="s">
        <v>27</v>
      </c>
      <c r="C4" s="43"/>
      <c r="D4" s="43"/>
      <c r="E4" s="43"/>
      <c r="F4" s="43"/>
      <c r="G4" s="43"/>
      <c r="H4" s="43"/>
      <c r="I4" s="43"/>
      <c r="J4" s="43"/>
    </row>
    <row r="5" spans="2:10" x14ac:dyDescent="0.3">
      <c r="B5" s="46" t="s">
        <v>28</v>
      </c>
      <c r="C5" s="46"/>
      <c r="D5" s="46"/>
      <c r="E5" s="46"/>
      <c r="F5" s="46"/>
      <c r="G5" s="46"/>
      <c r="H5" s="46"/>
      <c r="I5" s="46"/>
      <c r="J5" s="46"/>
    </row>
    <row r="6" spans="2:10" x14ac:dyDescent="0.3">
      <c r="B6" s="44" t="s">
        <v>29</v>
      </c>
      <c r="C6" s="44"/>
      <c r="D6" s="44"/>
      <c r="E6" s="44"/>
      <c r="F6" s="44"/>
      <c r="G6" s="44"/>
      <c r="H6" s="44"/>
      <c r="I6" s="44"/>
      <c r="J6" s="44"/>
    </row>
    <row r="8" spans="2:10" ht="24" customHeight="1" x14ac:dyDescent="0.3">
      <c r="B8" s="7" t="s">
        <v>31</v>
      </c>
      <c r="C8" s="7" t="s">
        <v>32</v>
      </c>
      <c r="D8" s="8" t="s">
        <v>33</v>
      </c>
      <c r="E8" s="8" t="s">
        <v>34</v>
      </c>
      <c r="F8" s="9" t="s">
        <v>49</v>
      </c>
      <c r="G8" s="9" t="s">
        <v>35</v>
      </c>
      <c r="H8" s="9" t="s">
        <v>36</v>
      </c>
      <c r="I8" s="8" t="s">
        <v>6</v>
      </c>
      <c r="J8" s="8" t="s">
        <v>7</v>
      </c>
    </row>
    <row r="9" spans="2:10" x14ac:dyDescent="0.3">
      <c r="B9" s="25">
        <v>46235</v>
      </c>
      <c r="C9" s="25">
        <v>46235</v>
      </c>
      <c r="D9" s="28" t="s">
        <v>38</v>
      </c>
      <c r="E9" s="30"/>
      <c r="F9" s="32">
        <v>0</v>
      </c>
      <c r="G9" s="32">
        <v>0</v>
      </c>
      <c r="H9" s="32">
        <v>1500000</v>
      </c>
      <c r="I9" s="30"/>
      <c r="J9" s="30" t="s">
        <v>37</v>
      </c>
    </row>
    <row r="10" spans="2:10" x14ac:dyDescent="0.3">
      <c r="B10" s="26">
        <v>46240</v>
      </c>
      <c r="C10" s="26">
        <v>46240</v>
      </c>
      <c r="D10" s="29" t="s">
        <v>40</v>
      </c>
      <c r="E10" s="31" t="s">
        <v>9</v>
      </c>
      <c r="F10" s="33">
        <v>0</v>
      </c>
      <c r="G10" s="33">
        <v>500000</v>
      </c>
      <c r="H10" s="33">
        <f t="shared" ref="H10:H17" si="0">H9-F10+G10</f>
        <v>2000000</v>
      </c>
      <c r="I10" s="31" t="str">
        <f t="shared" ref="I10:I17" si="1">E10&amp;"_"&amp;(F10+G10)</f>
        <v>TXN-CB-102_500000</v>
      </c>
      <c r="J10" s="31" t="str">
        <f>IF(ISNUMBER(_xlfn.XMATCH(I10,'CASH BOOK'!$G$8:$G$15)),"Matched","Bank-Originated Entry")</f>
        <v>Matched</v>
      </c>
    </row>
    <row r="11" spans="2:10" x14ac:dyDescent="0.3">
      <c r="B11" s="26">
        <v>46245</v>
      </c>
      <c r="C11" s="26">
        <v>46245</v>
      </c>
      <c r="D11" s="29" t="s">
        <v>39</v>
      </c>
      <c r="E11" s="31" t="s">
        <v>12</v>
      </c>
      <c r="F11" s="33">
        <v>320000</v>
      </c>
      <c r="G11" s="33">
        <v>0</v>
      </c>
      <c r="H11" s="33">
        <f t="shared" si="0"/>
        <v>1680000</v>
      </c>
      <c r="I11" s="31" t="str">
        <f t="shared" si="1"/>
        <v>CHQ-501_320000</v>
      </c>
      <c r="J11" s="31" t="str">
        <f>IF(ISNUMBER(_xlfn.XMATCH(I11,'CASH BOOK'!$G$8:$G$15)),"Matched","Bank-Originated Entry")</f>
        <v>Matched</v>
      </c>
    </row>
    <row r="12" spans="2:10" x14ac:dyDescent="0.3">
      <c r="B12" s="26">
        <v>46251</v>
      </c>
      <c r="C12" s="26">
        <v>46251</v>
      </c>
      <c r="D12" s="29" t="s">
        <v>69</v>
      </c>
      <c r="E12" s="31" t="s">
        <v>13</v>
      </c>
      <c r="F12" s="33">
        <v>450000</v>
      </c>
      <c r="G12" s="33">
        <v>0</v>
      </c>
      <c r="H12" s="33">
        <f t="shared" si="0"/>
        <v>1230000</v>
      </c>
      <c r="I12" s="31" t="str">
        <f t="shared" si="1"/>
        <v>CHQ-502_450000</v>
      </c>
      <c r="J12" s="31" t="str">
        <f>IF(ISNUMBER(_xlfn.XMATCH(I12,'CASH BOOK'!$G$8:$G$15)),"Matched","Bank-Originated Entry")</f>
        <v>Matched</v>
      </c>
    </row>
    <row r="13" spans="2:10" x14ac:dyDescent="0.3">
      <c r="B13" s="26">
        <v>46264</v>
      </c>
      <c r="C13" s="26">
        <v>46264</v>
      </c>
      <c r="D13" s="29" t="s">
        <v>41</v>
      </c>
      <c r="E13" s="31" t="s">
        <v>20</v>
      </c>
      <c r="F13" s="33">
        <v>280000</v>
      </c>
      <c r="G13" s="33">
        <v>0</v>
      </c>
      <c r="H13" s="33">
        <f t="shared" si="0"/>
        <v>950000</v>
      </c>
      <c r="I13" s="31" t="str">
        <f t="shared" si="1"/>
        <v>CHQ-504_280000</v>
      </c>
      <c r="J13" s="31" t="str">
        <f>IF(ISNUMBER(_xlfn.XMATCH(I13,'CASH BOOK'!$G$8:$G$15)),"Matched","Bank-Originated Entry")</f>
        <v>Matched</v>
      </c>
    </row>
    <row r="14" spans="2:10" x14ac:dyDescent="0.3">
      <c r="B14" s="26">
        <v>46265</v>
      </c>
      <c r="C14" s="26">
        <v>46265</v>
      </c>
      <c r="D14" s="29" t="s">
        <v>42</v>
      </c>
      <c r="E14" s="31" t="s">
        <v>21</v>
      </c>
      <c r="F14" s="33">
        <v>0</v>
      </c>
      <c r="G14" s="33">
        <v>400000</v>
      </c>
      <c r="H14" s="33">
        <f t="shared" si="0"/>
        <v>1350000</v>
      </c>
      <c r="I14" s="31" t="str">
        <f t="shared" si="1"/>
        <v>TXN-CB-108_400000</v>
      </c>
      <c r="J14" s="31" t="str">
        <f>IF(ISNUMBER(_xlfn.XMATCH(I14,'CASH BOOK'!$G$8:$G$15)),"Matched","Bank-Originated Entry")</f>
        <v>Matched</v>
      </c>
    </row>
    <row r="15" spans="2:10" x14ac:dyDescent="0.3">
      <c r="B15" s="26">
        <v>46265</v>
      </c>
      <c r="C15" s="26">
        <v>46265</v>
      </c>
      <c r="D15" s="29" t="s">
        <v>43</v>
      </c>
      <c r="E15" s="31" t="s">
        <v>44</v>
      </c>
      <c r="F15" s="33">
        <v>0</v>
      </c>
      <c r="G15" s="33">
        <v>12500</v>
      </c>
      <c r="H15" s="33">
        <f t="shared" si="0"/>
        <v>1362500</v>
      </c>
      <c r="I15" s="31" t="str">
        <f t="shared" si="1"/>
        <v>INT-9921_12500</v>
      </c>
      <c r="J15" s="31" t="str">
        <f>IF(ISNUMBER(_xlfn.XMATCH(I15,'CASH BOOK'!$G$8:$G$15)),"Matched","Bank-Originated Entry")</f>
        <v>Bank-Originated Entry</v>
      </c>
    </row>
    <row r="16" spans="2:10" x14ac:dyDescent="0.3">
      <c r="B16" s="26">
        <v>46265</v>
      </c>
      <c r="C16" s="26">
        <v>46265</v>
      </c>
      <c r="D16" s="29" t="s">
        <v>45</v>
      </c>
      <c r="E16" s="31" t="s">
        <v>46</v>
      </c>
      <c r="F16" s="33">
        <v>85000</v>
      </c>
      <c r="G16" s="33">
        <v>0</v>
      </c>
      <c r="H16" s="33">
        <f t="shared" si="0"/>
        <v>1277500</v>
      </c>
      <c r="I16" s="31" t="str">
        <f t="shared" si="1"/>
        <v>LOAN-883_85000</v>
      </c>
      <c r="J16" s="31" t="str">
        <f>IF(ISNUMBER(_xlfn.XMATCH(I16,'CASH BOOK'!$G$8:$G$15)),"Matched","Bank-Originated Entry")</f>
        <v>Bank-Originated Entry</v>
      </c>
    </row>
    <row r="17" spans="2:10" ht="15" thickBot="1" x14ac:dyDescent="0.35">
      <c r="B17" s="26">
        <v>46265</v>
      </c>
      <c r="C17" s="26">
        <v>46265</v>
      </c>
      <c r="D17" s="29" t="s">
        <v>47</v>
      </c>
      <c r="E17" s="31" t="s">
        <v>48</v>
      </c>
      <c r="F17" s="33">
        <v>4500</v>
      </c>
      <c r="G17" s="33">
        <v>0</v>
      </c>
      <c r="H17" s="34">
        <f t="shared" si="0"/>
        <v>1273000</v>
      </c>
      <c r="I17" s="31" t="str">
        <f t="shared" si="1"/>
        <v>CHG-1102_4500</v>
      </c>
      <c r="J17" s="31" t="str">
        <f>IF(ISNUMBER(_xlfn.XMATCH(I17,'CASH BOOK'!$G$8:$G$15)),"Matched","Bank-Originated Entry")</f>
        <v>Bank-Originated Entry</v>
      </c>
    </row>
    <row r="18" spans="2:10" ht="15" thickTop="1" x14ac:dyDescent="0.3"/>
  </sheetData>
  <mergeCells count="4">
    <mergeCell ref="B2:J2"/>
    <mergeCell ref="B4:J4"/>
    <mergeCell ref="B5:J5"/>
    <mergeCell ref="B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16B0-425B-425E-9099-414F0245AB21}">
  <dimension ref="B1:F19"/>
  <sheetViews>
    <sheetView showGridLines="0" topLeftCell="A3" zoomScale="116" workbookViewId="0">
      <selection activeCell="J7" sqref="J7"/>
    </sheetView>
  </sheetViews>
  <sheetFormatPr defaultRowHeight="14.4" x14ac:dyDescent="0.3"/>
  <cols>
    <col min="1" max="1" width="3.77734375" customWidth="1"/>
    <col min="2" max="2" width="39.44140625" bestFit="1" customWidth="1"/>
    <col min="3" max="3" width="22.88671875" bestFit="1" customWidth="1"/>
    <col min="4" max="4" width="13.21875" style="2" bestFit="1" customWidth="1"/>
    <col min="5" max="5" width="28.44140625" style="2" bestFit="1" customWidth="1"/>
  </cols>
  <sheetData>
    <row r="1" spans="2:6" ht="12" customHeight="1" x14ac:dyDescent="0.3"/>
    <row r="2" spans="2:6" ht="30" customHeight="1" x14ac:dyDescent="0.3">
      <c r="B2" s="42" t="s">
        <v>50</v>
      </c>
      <c r="C2" s="42"/>
      <c r="D2" s="42"/>
      <c r="E2" s="42"/>
    </row>
    <row r="4" spans="2:6" ht="18" x14ac:dyDescent="0.3">
      <c r="B4" s="43" t="s">
        <v>1</v>
      </c>
      <c r="C4" s="43"/>
      <c r="D4" s="43"/>
      <c r="E4" s="43"/>
    </row>
    <row r="5" spans="2:6" x14ac:dyDescent="0.3">
      <c r="B5" s="44" t="s">
        <v>51</v>
      </c>
      <c r="C5" s="44"/>
      <c r="D5" s="44"/>
      <c r="E5" s="44"/>
    </row>
    <row r="7" spans="2:6" ht="24" customHeight="1" x14ac:dyDescent="0.3">
      <c r="B7" s="4" t="s">
        <v>25</v>
      </c>
      <c r="C7" s="4" t="s">
        <v>52</v>
      </c>
      <c r="D7" s="5" t="s">
        <v>53</v>
      </c>
      <c r="E7" s="5" t="s">
        <v>54</v>
      </c>
      <c r="F7" s="10"/>
    </row>
    <row r="8" spans="2:6" x14ac:dyDescent="0.3">
      <c r="B8" s="27" t="s">
        <v>55</v>
      </c>
      <c r="C8" s="27" t="s">
        <v>56</v>
      </c>
      <c r="D8" s="37"/>
      <c r="E8" s="38">
        <f>'CASH BOOK'!E16-'CASH BOOK'!F16</f>
        <v>1500000</v>
      </c>
    </row>
    <row r="9" spans="2:6" x14ac:dyDescent="0.3">
      <c r="B9" s="35" t="s">
        <v>57</v>
      </c>
      <c r="C9" s="27"/>
      <c r="D9" s="37"/>
      <c r="E9" s="37"/>
    </row>
    <row r="10" spans="2:6" x14ac:dyDescent="0.3">
      <c r="B10" s="27" t="s">
        <v>58</v>
      </c>
      <c r="C10" s="27" t="s">
        <v>59</v>
      </c>
      <c r="D10" s="37">
        <f>'CASH BOOK'!F13</f>
        <v>600000</v>
      </c>
      <c r="E10" s="37">
        <v>0</v>
      </c>
    </row>
    <row r="11" spans="2:6" x14ac:dyDescent="0.3">
      <c r="B11" s="27" t="s">
        <v>60</v>
      </c>
      <c r="C11" s="27" t="s">
        <v>44</v>
      </c>
      <c r="D11" s="37">
        <f>'BANK STATEMENT'!G15</f>
        <v>12500</v>
      </c>
      <c r="E11" s="39">
        <f>SUM(D10:D11)</f>
        <v>612500</v>
      </c>
    </row>
    <row r="12" spans="2:6" x14ac:dyDescent="0.3">
      <c r="B12" s="36" t="s">
        <v>61</v>
      </c>
      <c r="C12" s="27"/>
      <c r="D12" s="37"/>
      <c r="E12" s="39">
        <f>E8+E11</f>
        <v>2112500</v>
      </c>
    </row>
    <row r="13" spans="2:6" x14ac:dyDescent="0.3">
      <c r="B13" s="35" t="s">
        <v>68</v>
      </c>
      <c r="C13" s="27"/>
      <c r="D13" s="37"/>
      <c r="E13" s="37"/>
    </row>
    <row r="14" spans="2:6" x14ac:dyDescent="0.3">
      <c r="B14" s="27" t="s">
        <v>62</v>
      </c>
      <c r="C14" s="27" t="s">
        <v>63</v>
      </c>
      <c r="D14" s="37">
        <f>'CASH BOOK'!E12</f>
        <v>750000</v>
      </c>
      <c r="E14" s="37">
        <v>0</v>
      </c>
    </row>
    <row r="15" spans="2:6" x14ac:dyDescent="0.3">
      <c r="B15" s="27" t="s">
        <v>70</v>
      </c>
      <c r="C15" s="27" t="s">
        <v>46</v>
      </c>
      <c r="D15" s="37">
        <f>'BANK STATEMENT'!F16</f>
        <v>85000</v>
      </c>
      <c r="E15" s="37">
        <v>0</v>
      </c>
    </row>
    <row r="16" spans="2:6" x14ac:dyDescent="0.3">
      <c r="B16" s="27" t="s">
        <v>64</v>
      </c>
      <c r="C16" s="27" t="s">
        <v>48</v>
      </c>
      <c r="D16" s="37">
        <f>'BANK STATEMENT'!F17</f>
        <v>4500</v>
      </c>
      <c r="E16" s="39">
        <f>SUM(D14:D16)</f>
        <v>839500</v>
      </c>
    </row>
    <row r="17" spans="2:5" ht="15" thickBot="1" x14ac:dyDescent="0.35">
      <c r="B17" s="35" t="s">
        <v>65</v>
      </c>
      <c r="C17" s="27" t="s">
        <v>66</v>
      </c>
      <c r="D17" s="37">
        <v>0</v>
      </c>
      <c r="E17" s="40">
        <f>E12-E16</f>
        <v>1273000</v>
      </c>
    </row>
    <row r="18" spans="2:5" ht="15" thickTop="1" x14ac:dyDescent="0.3"/>
    <row r="19" spans="2:5" x14ac:dyDescent="0.3">
      <c r="B19" s="41" t="s">
        <v>67</v>
      </c>
      <c r="C19" s="11"/>
      <c r="D19" s="12"/>
      <c r="E19" s="13" t="str">
        <f>IF(E17='BANK STATEMENT'!H17, "RECONCILED / ZERO VARIANCE", "VARIANCE DETECTED")</f>
        <v>RECONCILED / ZERO VARIANCE</v>
      </c>
    </row>
  </sheetData>
  <mergeCells count="3">
    <mergeCell ref="B2:E2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BOOK</vt:lpstr>
      <vt:lpstr>BANK STATEMENT</vt:lpstr>
      <vt:lpstr>BRS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Tiki Sahu</dc:creator>
  <cp:lastModifiedBy>Tiki Sahu</cp:lastModifiedBy>
  <dcterms:created xsi:type="dcterms:W3CDTF">2026-09-05T13:51:41Z</dcterms:created>
  <dcterms:modified xsi:type="dcterms:W3CDTF">2026-10-27T15:16:28Z</dcterms:modified>
</cp:coreProperties>
</file>